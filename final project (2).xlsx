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GC\Desktop\"/>
    </mc:Choice>
  </mc:AlternateContent>
  <bookViews>
    <workbookView xWindow="0" yWindow="0" windowWidth="20490" windowHeight="7650" activeTab="2"/>
  </bookViews>
  <sheets>
    <sheet name="Raw Data" sheetId="1" r:id="rId1"/>
    <sheet name="Calculations" sheetId="2" r:id="rId2"/>
    <sheet name="Dashboard" sheetId="3"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 l="1"/>
  <c r="C8" i="2" l="1"/>
  <c r="C9" i="2" l="1"/>
  <c r="C5" i="2" l="1"/>
  <c r="F16" i="1"/>
  <c r="F17" i="1"/>
  <c r="F18" i="1"/>
  <c r="F15" i="1"/>
  <c r="F14" i="1"/>
  <c r="C7" i="2" l="1"/>
</calcChain>
</file>

<file path=xl/sharedStrings.xml><?xml version="1.0" encoding="utf-8"?>
<sst xmlns="http://schemas.openxmlformats.org/spreadsheetml/2006/main" count="100" uniqueCount="85">
  <si>
    <t xml:space="preserve">Green Byte </t>
  </si>
  <si>
    <t>RAW DATA</t>
  </si>
  <si>
    <t>Services</t>
  </si>
  <si>
    <t>Service ID</t>
  </si>
  <si>
    <t>Service Name</t>
  </si>
  <si>
    <t>Category</t>
  </si>
  <si>
    <t>Estimated Cost (PKR)</t>
  </si>
  <si>
    <t>Status</t>
  </si>
  <si>
    <t>S01</t>
  </si>
  <si>
    <t>Web Development</t>
  </si>
  <si>
    <t>Software</t>
  </si>
  <si>
    <t>Available</t>
  </si>
  <si>
    <t>S02</t>
  </si>
  <si>
    <t>S03</t>
  </si>
  <si>
    <t>S04</t>
  </si>
  <si>
    <t>S05</t>
  </si>
  <si>
    <t>Mobile App Development</t>
  </si>
  <si>
    <t>Out of Stock</t>
  </si>
  <si>
    <t>Devices</t>
  </si>
  <si>
    <t>Product ID</t>
  </si>
  <si>
    <t>Product Name</t>
  </si>
  <si>
    <t>Price (PKR)</t>
  </si>
  <si>
    <t>Stock</t>
  </si>
  <si>
    <t>Availability</t>
  </si>
  <si>
    <t>D01</t>
  </si>
  <si>
    <t>Laptop</t>
  </si>
  <si>
    <t>Computing</t>
  </si>
  <si>
    <t>D02</t>
  </si>
  <si>
    <t>Smart Phone</t>
  </si>
  <si>
    <t>Mobile</t>
  </si>
  <si>
    <t>D03</t>
  </si>
  <si>
    <t>Headphones</t>
  </si>
  <si>
    <t>Audio</t>
  </si>
  <si>
    <t>D04</t>
  </si>
  <si>
    <t>Wireless Earbuds</t>
  </si>
  <si>
    <t>D05</t>
  </si>
  <si>
    <t>Fast Charger</t>
  </si>
  <si>
    <t>Accessories</t>
  </si>
  <si>
    <t>Team</t>
  </si>
  <si>
    <t>Calculations</t>
  </si>
  <si>
    <t>Metric</t>
  </si>
  <si>
    <t>Formula</t>
  </si>
  <si>
    <t>Result</t>
  </si>
  <si>
    <t>Tax Rate</t>
  </si>
  <si>
    <t>Discount Rate</t>
  </si>
  <si>
    <t>Total Device Stock</t>
  </si>
  <si>
    <t>SUM</t>
  </si>
  <si>
    <t>Average Device Price</t>
  </si>
  <si>
    <t>AVERAGE</t>
  </si>
  <si>
    <t>Average Service Cost</t>
  </si>
  <si>
    <t>Inventory Value (Before Tax &amp; Discount)</t>
  </si>
  <si>
    <t>SUMPRODUCT (Price × Stock)</t>
  </si>
  <si>
    <t>Inventory Value (After Discount &amp; Tax)</t>
  </si>
  <si>
    <t>Apply Discount then Tax</t>
  </si>
  <si>
    <t>CHARTS</t>
  </si>
  <si>
    <t>SUMMARY</t>
  </si>
  <si>
    <t>This dashboard presents a summarized view of the website’s product inventory and pricing data. Raw Data contains original product and service information exactly as displayed on the website. The Calculations sheet applies business logic using Excel formulas such as SUM, AVERAGE, and IF to compute inventory value, stock availability, tax, and discount. The chart is dynamically linked to the Raw Data sheet, ensuring that any update in prices or stock is automatically reflected. This structure demonstrates real-world data handling, financial analysis, and decision-support using Microsoft Excel.</t>
  </si>
  <si>
    <t>Cloud Solutions</t>
  </si>
  <si>
    <t>Role</t>
  </si>
  <si>
    <t>Software  Development</t>
  </si>
  <si>
    <t>Cyber Security</t>
  </si>
  <si>
    <t>Experience (years)</t>
  </si>
  <si>
    <t>Projects/Items</t>
  </si>
  <si>
    <t>Chief Executive Officer</t>
  </si>
  <si>
    <t>Executive</t>
  </si>
  <si>
    <t>15+</t>
  </si>
  <si>
    <t>50+ projects</t>
  </si>
  <si>
    <t>Lead Software Developer</t>
  </si>
  <si>
    <t>Software Faculty</t>
  </si>
  <si>
    <t>8+</t>
  </si>
  <si>
    <t>30+ projects</t>
  </si>
  <si>
    <t>Senior Web Developer</t>
  </si>
  <si>
    <t>6+</t>
  </si>
  <si>
    <t>40+ platforms</t>
  </si>
  <si>
    <t>Cloud Architect</t>
  </si>
  <si>
    <t>7+</t>
  </si>
  <si>
    <t>20+ migrations</t>
  </si>
  <si>
    <t>Device Engineers (Phones &amp; Earbuds)</t>
  </si>
  <si>
    <t>Hardware Faculty</t>
  </si>
  <si>
    <t>12 components</t>
  </si>
  <si>
    <t>PB (Power Board) Engineer</t>
  </si>
  <si>
    <t>10+</t>
  </si>
  <si>
    <t>18 iterations</t>
  </si>
  <si>
    <t>Average of all Experiences</t>
  </si>
  <si>
    <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</si>
</sst>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4"/>
      <name val="Calibri"/>
    </font>
    <font>
      <b/>
      <sz val="11"/>
      <name val="Calibri"/>
    </font>
    <font>
      <sz val="14"/>
      <color theme="1"/>
      <name val="Arial Black"/>
      <family val="2"/>
    </font>
    <font>
      <sz val="12"/>
      <color theme="1"/>
      <name val="Arial Rounded MT Bold"/>
      <family val="2"/>
    </font>
    <font>
      <sz val="14"/>
      <name val="Calibri"/>
      <family val="2"/>
    </font>
    <font>
      <sz val="11"/>
      <name val="Calibri"/>
      <family val="2"/>
    </font>
    <font>
      <sz val="14"/>
      <color theme="1"/>
      <name val="Calibri"/>
      <family val="2"/>
      <scheme val="minor"/>
    </font>
    <font>
      <sz val="11"/>
      <color theme="1"/>
      <name val="Calibri"/>
      <family val="2"/>
      <scheme val="minor"/>
    </font>
    <font>
      <b/>
      <sz val="14"/>
      <color theme="0"/>
      <name val="Calibri"/>
      <family val="2"/>
    </font>
    <font>
      <b/>
      <sz val="20"/>
      <color theme="0"/>
      <name val="Calibri"/>
      <family val="2"/>
    </font>
    <font>
      <b/>
      <sz val="18"/>
      <color theme="1"/>
      <name val="Calibri"/>
      <family val="2"/>
      <scheme val="minor"/>
    </font>
    <font>
      <b/>
      <sz val="18"/>
      <color theme="0"/>
      <name val="Calibri"/>
      <family val="2"/>
      <scheme val="minor"/>
    </font>
    <font>
      <b/>
      <sz val="11"/>
      <color theme="1"/>
      <name val="Calibri"/>
      <family val="2"/>
      <scheme val="minor"/>
    </font>
  </fonts>
  <fills count="16">
    <fill>
      <patternFill patternType="none"/>
    </fill>
    <fill>
      <patternFill patternType="gray125"/>
    </fill>
    <fill>
      <patternFill patternType="solid">
        <fgColor rgb="FFBDD7EE"/>
        <bgColor rgb="FFBDD7EE"/>
      </patternFill>
    </fill>
    <fill>
      <patternFill patternType="solid">
        <fgColor rgb="FFE2EFDA"/>
        <bgColor rgb="FFE2EFDA"/>
      </patternFill>
    </fill>
    <fill>
      <patternFill patternType="solid">
        <fgColor rgb="FFFFFF00"/>
        <bgColor indexed="64"/>
      </patternFill>
    </fill>
    <fill>
      <patternFill patternType="solid">
        <fgColor theme="3" tint="0.79998168889431442"/>
        <bgColor rgb="FFBDD7EE"/>
      </patternFill>
    </fill>
    <fill>
      <patternFill patternType="solid">
        <fgColor theme="5" tint="0.59999389629810485"/>
        <bgColor indexed="64"/>
      </patternFill>
    </fill>
    <fill>
      <patternFill patternType="solid">
        <fgColor theme="6"/>
        <bgColor indexed="64"/>
      </patternFill>
    </fill>
    <fill>
      <patternFill patternType="solid">
        <fgColor theme="7" tint="0.39997558519241921"/>
        <bgColor rgb="FFC6E0B4"/>
      </patternFill>
    </fill>
    <fill>
      <patternFill patternType="solid">
        <fgColor theme="7" tint="0.39997558519241921"/>
        <bgColor indexed="64"/>
      </patternFill>
    </fill>
    <fill>
      <patternFill patternType="solid">
        <fgColor theme="0"/>
        <bgColor indexed="64"/>
      </patternFill>
    </fill>
    <fill>
      <patternFill patternType="solid">
        <fgColor theme="8" tint="0.59999389629810485"/>
        <bgColor rgb="FFFCE4D6"/>
      </patternFill>
    </fill>
    <fill>
      <patternFill patternType="solid">
        <fgColor theme="0"/>
        <bgColor rgb="FFE2EFDA"/>
      </patternFill>
    </fill>
    <fill>
      <patternFill patternType="solid">
        <fgColor theme="5" tint="-0.249977111117893"/>
        <bgColor indexed="64"/>
      </patternFill>
    </fill>
    <fill>
      <patternFill patternType="solid">
        <fgColor theme="8" tint="-0.249977111117893"/>
        <bgColor indexed="64"/>
      </patternFill>
    </fill>
    <fill>
      <patternFill patternType="solid">
        <fgColor theme="4"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9" fontId="8" fillId="0" borderId="0" applyFont="0" applyFill="0" applyBorder="0" applyAlignment="0" applyProtection="0"/>
  </cellStyleXfs>
  <cellXfs count="53">
    <xf numFmtId="0" fontId="0" fillId="0" borderId="0" xfId="0"/>
    <xf numFmtId="0" fontId="0" fillId="0" borderId="0" xfId="0" applyAlignment="1">
      <alignment wrapText="1"/>
    </xf>
    <xf numFmtId="0" fontId="0" fillId="0" borderId="1" xfId="0" applyFont="1" applyBorder="1"/>
    <xf numFmtId="0" fontId="0" fillId="0" borderId="1" xfId="0" applyFont="1" applyBorder="1" applyAlignment="1">
      <alignment horizontal="center"/>
    </xf>
    <xf numFmtId="0" fontId="0" fillId="0" borderId="1" xfId="0" applyBorder="1"/>
    <xf numFmtId="0" fontId="0" fillId="0" borderId="1" xfId="0" applyBorder="1" applyAlignment="1">
      <alignment horizontal="center"/>
    </xf>
    <xf numFmtId="0" fontId="6" fillId="12" borderId="1" xfId="0" applyFont="1" applyFill="1" applyBorder="1"/>
    <xf numFmtId="0" fontId="6" fillId="12" borderId="1" xfId="0" applyFont="1" applyFill="1" applyBorder="1" applyAlignment="1">
      <alignment horizontal="center"/>
    </xf>
    <xf numFmtId="0" fontId="0" fillId="0" borderId="1" xfId="0" applyBorder="1" applyAlignment="1">
      <alignment wrapText="1"/>
    </xf>
    <xf numFmtId="9" fontId="0" fillId="0" borderId="1" xfId="1" applyFont="1" applyBorder="1"/>
    <xf numFmtId="0" fontId="2" fillId="3" borderId="2" xfId="0" applyFont="1" applyFill="1" applyBorder="1"/>
    <xf numFmtId="0" fontId="2" fillId="3" borderId="2" xfId="0"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4" fillId="10" borderId="12" xfId="0" applyFont="1" applyFill="1" applyBorder="1" applyAlignment="1">
      <alignment horizontal="center" wrapText="1"/>
    </xf>
    <xf numFmtId="0" fontId="3" fillId="10" borderId="12" xfId="0" applyFont="1" applyFill="1" applyBorder="1" applyAlignment="1">
      <alignment horizontal="center" wrapText="1"/>
    </xf>
    <xf numFmtId="0" fontId="0" fillId="0" borderId="12" xfId="0" applyBorder="1"/>
    <xf numFmtId="0" fontId="6" fillId="2" borderId="2" xfId="0" applyFont="1" applyFill="1" applyBorder="1" applyAlignment="1">
      <alignment vertical="center" wrapText="1"/>
    </xf>
    <xf numFmtId="0" fontId="6" fillId="5" borderId="2" xfId="0" applyFont="1" applyFill="1" applyBorder="1" applyAlignment="1">
      <alignment vertical="center" wrapText="1"/>
    </xf>
    <xf numFmtId="0" fontId="0" fillId="0" borderId="12" xfId="0" applyFont="1" applyBorder="1"/>
    <xf numFmtId="0" fontId="0" fillId="0" borderId="12" xfId="0" applyFont="1" applyBorder="1" applyAlignment="1">
      <alignment horizontal="center"/>
    </xf>
    <xf numFmtId="0" fontId="6" fillId="11" borderId="2" xfId="0" applyFont="1" applyFill="1" applyBorder="1"/>
    <xf numFmtId="0" fontId="6" fillId="11" borderId="2" xfId="0" applyFont="1" applyFill="1" applyBorder="1" applyAlignment="1">
      <alignment horizontal="center"/>
    </xf>
    <xf numFmtId="0" fontId="3" fillId="7" borderId="3" xfId="0" applyFont="1" applyFill="1" applyBorder="1" applyAlignment="1">
      <alignment horizontal="center" wrapText="1"/>
    </xf>
    <xf numFmtId="0" fontId="3" fillId="7" borderId="4" xfId="0" applyFont="1" applyFill="1" applyBorder="1" applyAlignment="1">
      <alignment horizontal="center" wrapText="1"/>
    </xf>
    <xf numFmtId="0" fontId="3" fillId="7" borderId="5" xfId="0" applyFont="1" applyFill="1" applyBorder="1" applyAlignment="1">
      <alignment horizontal="center" wrapText="1"/>
    </xf>
    <xf numFmtId="0" fontId="4" fillId="6" borderId="2" xfId="0" applyFont="1" applyFill="1" applyBorder="1" applyAlignment="1">
      <alignment horizontal="center" vertical="center" wrapText="1"/>
    </xf>
    <xf numFmtId="0" fontId="5" fillId="8" borderId="3" xfId="0" applyFont="1" applyFill="1" applyBorder="1" applyAlignment="1">
      <alignment horizontal="center"/>
    </xf>
    <xf numFmtId="0" fontId="5" fillId="8" borderId="4" xfId="0" applyFont="1" applyFill="1" applyBorder="1" applyAlignment="1">
      <alignment horizontal="center"/>
    </xf>
    <xf numFmtId="0" fontId="5" fillId="8" borderId="5" xfId="0" applyFont="1" applyFill="1" applyBorder="1" applyAlignment="1">
      <alignment horizontal="center"/>
    </xf>
    <xf numFmtId="0" fontId="7" fillId="9" borderId="3" xfId="0" applyFont="1" applyFill="1" applyBorder="1" applyAlignment="1">
      <alignment horizontal="center" wrapText="1"/>
    </xf>
    <xf numFmtId="0" fontId="7" fillId="9" borderId="4" xfId="0" applyFont="1" applyFill="1" applyBorder="1" applyAlignment="1">
      <alignment horizontal="center" wrapText="1"/>
    </xf>
    <xf numFmtId="0" fontId="7" fillId="9" borderId="5" xfId="0" applyFont="1" applyFill="1" applyBorder="1" applyAlignment="1">
      <alignment horizontal="center" wrapText="1"/>
    </xf>
    <xf numFmtId="0" fontId="1" fillId="4" borderId="3" xfId="0" applyFont="1" applyFill="1" applyBorder="1" applyAlignment="1">
      <alignment horizontal="center"/>
    </xf>
    <xf numFmtId="0" fontId="1" fillId="4" borderId="4" xfId="0" applyFont="1" applyFill="1" applyBorder="1" applyAlignment="1">
      <alignment horizontal="center"/>
    </xf>
    <xf numFmtId="0" fontId="1" fillId="4" borderId="5" xfId="0" applyFont="1" applyFill="1" applyBorder="1" applyAlignment="1">
      <alignment horizontal="center"/>
    </xf>
    <xf numFmtId="0" fontId="10" fillId="14" borderId="6" xfId="0" applyFont="1" applyFill="1" applyBorder="1" applyAlignment="1">
      <alignment horizontal="center" vertical="center"/>
    </xf>
    <xf numFmtId="0" fontId="9" fillId="14" borderId="7" xfId="0" applyFont="1" applyFill="1" applyBorder="1" applyAlignment="1">
      <alignment horizontal="center" vertical="center"/>
    </xf>
    <xf numFmtId="0" fontId="9" fillId="14" borderId="8" xfId="0" applyFont="1" applyFill="1" applyBorder="1" applyAlignment="1">
      <alignment horizontal="center" vertical="center"/>
    </xf>
    <xf numFmtId="0" fontId="9" fillId="14" borderId="9" xfId="0" applyFont="1" applyFill="1" applyBorder="1" applyAlignment="1">
      <alignment horizontal="center" vertical="center"/>
    </xf>
    <xf numFmtId="0" fontId="9" fillId="14" borderId="10" xfId="0" applyFont="1" applyFill="1" applyBorder="1" applyAlignment="1">
      <alignment horizontal="center" vertical="center"/>
    </xf>
    <xf numFmtId="0" fontId="9" fillId="14" borderId="11" xfId="0" applyFont="1" applyFill="1" applyBorder="1" applyAlignment="1">
      <alignment horizontal="center" vertical="center"/>
    </xf>
    <xf numFmtId="0" fontId="12" fillId="13" borderId="6" xfId="0" applyFont="1" applyFill="1" applyBorder="1" applyAlignment="1">
      <alignment horizontal="center" vertical="center" wrapText="1"/>
    </xf>
    <xf numFmtId="0" fontId="11" fillId="13" borderId="7" xfId="0" applyFont="1" applyFill="1" applyBorder="1" applyAlignment="1">
      <alignment horizontal="center" vertical="center" wrapText="1"/>
    </xf>
    <xf numFmtId="0" fontId="11" fillId="13" borderId="8" xfId="0" applyFont="1" applyFill="1" applyBorder="1" applyAlignment="1">
      <alignment horizontal="center" vertical="center" wrapText="1"/>
    </xf>
    <xf numFmtId="0" fontId="11" fillId="13" borderId="9" xfId="0" applyFont="1" applyFill="1" applyBorder="1" applyAlignment="1">
      <alignment horizontal="center" vertical="center" wrapText="1"/>
    </xf>
    <xf numFmtId="0" fontId="11" fillId="13" borderId="10" xfId="0" applyFont="1" applyFill="1" applyBorder="1" applyAlignment="1">
      <alignment horizontal="center" vertical="center" wrapText="1"/>
    </xf>
    <xf numFmtId="0" fontId="11" fillId="13" borderId="11" xfId="0" applyFont="1" applyFill="1" applyBorder="1" applyAlignment="1">
      <alignment horizontal="center" vertical="center" wrapText="1"/>
    </xf>
    <xf numFmtId="0" fontId="0" fillId="0" borderId="2" xfId="0" applyBorder="1" applyAlignment="1">
      <alignment horizontal="left" wrapText="1"/>
    </xf>
    <xf numFmtId="0" fontId="13" fillId="15" borderId="2" xfId="0" applyFont="1" applyFill="1" applyBorder="1" applyAlignment="1">
      <alignment horizontal="center" vertical="center" wrapText="1"/>
    </xf>
    <xf numFmtId="0" fontId="0" fillId="15" borderId="2" xfId="0" applyFill="1" applyBorder="1"/>
    <xf numFmtId="0" fontId="0" fillId="0" borderId="13" xfId="0" applyFill="1" applyBorder="1"/>
  </cellXfs>
  <cellStyles count="2">
    <cellStyle name="Normal" xfId="0" builtinId="0"/>
    <cellStyle name="Percent" xfId="1" builtinId="5"/>
  </cellStyles>
  <dxfs count="9">
    <dxf>
      <fill>
        <patternFill>
          <bgColor theme="5"/>
        </patternFill>
      </fill>
    </dxf>
    <dxf>
      <fill>
        <patternFill>
          <bgColor rgb="FF00B050"/>
        </patternFill>
      </fill>
    </dxf>
    <dxf>
      <fill>
        <patternFill>
          <bgColor rgb="FFFF0000"/>
        </patternFill>
      </fill>
    </dxf>
    <dxf>
      <fill>
        <patternFill>
          <bgColor theme="6" tint="-0.24994659260841701"/>
        </patternFill>
      </fill>
    </dxf>
    <dxf>
      <fill>
        <patternFill>
          <bgColor theme="5"/>
        </patternFill>
      </fill>
    </dxf>
    <dxf>
      <fill>
        <patternFill>
          <bgColor rgb="FF00B050"/>
        </patternFill>
      </fill>
    </dxf>
    <dxf>
      <fill>
        <patternFill>
          <bgColor rgb="FFFF0000"/>
        </patternFill>
      </fill>
    </dxf>
    <dxf>
      <fill>
        <patternFill>
          <bgColor theme="6" tint="-0.24994659260841701"/>
        </patternFill>
      </fill>
    </dxf>
    <dxf>
      <fill>
        <patternFill>
          <bgColor theme="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Device Prices (PKR)</a:t>
            </a:r>
          </a:p>
        </c:rich>
      </c:tx>
      <c:layout>
        <c:manualLayout>
          <c:xMode val="edge"/>
          <c:yMode val="edge"/>
          <c:x val="0.39480740740740738"/>
          <c:y val="5.6048987697909197E-2"/>
        </c:manualLayout>
      </c:layout>
      <c:overlay val="1"/>
    </c:title>
    <c:autoTitleDeleted val="0"/>
    <c:plotArea>
      <c:layout>
        <c:manualLayout>
          <c:layoutTarget val="inner"/>
          <c:xMode val="edge"/>
          <c:yMode val="edge"/>
          <c:x val="4.7037037037037037E-2"/>
          <c:y val="4.6707489748257662E-2"/>
          <c:w val="0.7299605555555555"/>
          <c:h val="0.89724352255383311"/>
        </c:manualLayout>
      </c:layout>
      <c:barChart>
        <c:barDir val="col"/>
        <c:grouping val="clustered"/>
        <c:varyColors val="1"/>
        <c:ser>
          <c:idx val="0"/>
          <c:order val="0"/>
          <c:tx>
            <c:strRef>
              <c:f>'Raw Data'!$D$13</c:f>
              <c:strCache>
                <c:ptCount val="1"/>
                <c:pt idx="0">
                  <c:v>Price (PKR)</c:v>
                </c:pt>
              </c:strCache>
            </c:strRef>
          </c:tx>
          <c:spPr>
            <a:ln>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'Raw Data'!$B$14:$B$18</c:f>
              <c:strCache>
                <c:ptCount val="5"/>
                <c:pt idx="0">
                  <c:v>Laptop</c:v>
                </c:pt>
                <c:pt idx="1">
                  <c:v>Smart Phone</c:v>
                </c:pt>
                <c:pt idx="2">
                  <c:v>Headphones</c:v>
                </c:pt>
                <c:pt idx="3">
                  <c:v>Wireless Earbuds</c:v>
                </c:pt>
                <c:pt idx="4">
                  <c:v>Fast Charger</c:v>
                </c:pt>
              </c:strCache>
            </c:strRef>
          </c:cat>
          <c:val>
            <c:numRef>
              <c:f>'Raw Data'!$D$14:$D$18</c:f>
              <c:numCache>
                <c:formatCode>General</c:formatCode>
                <c:ptCount val="5"/>
                <c:pt idx="0">
                  <c:v>180000</c:v>
                </c:pt>
                <c:pt idx="1">
                  <c:v>95000</c:v>
                </c:pt>
                <c:pt idx="2">
                  <c:v>18000</c:v>
                </c:pt>
                <c:pt idx="3">
                  <c:v>12500</c:v>
                </c:pt>
                <c:pt idx="4">
                  <c:v>4500</c:v>
                </c:pt>
              </c:numCache>
            </c:numRef>
          </c:val>
          <c:extLst>
            <c:ext xmlns:c16="http://schemas.microsoft.com/office/drawing/2014/chart" uri="{C3380CC4-5D6E-409C-BE32-E72D297353CC}">
              <c16:uniqueId val="{00000000-B93B-4DB6-9F1A-AFAE9B004F33}"/>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Device</a:t>
                </a:r>
              </a:p>
            </c:rich>
          </c:tx>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Price</a:t>
                </a:r>
              </a:p>
            </c:rich>
          </c:tx>
          <c:layout/>
          <c:overlay val="1"/>
        </c:title>
        <c:numFmt formatCode="General" sourceLinked="1"/>
        <c:majorTickMark val="none"/>
        <c:minorTickMark val="none"/>
        <c:tickLblPos val="nextTo"/>
        <c:crossAx val="10"/>
        <c:crosses val="autoZero"/>
        <c:crossBetween val="between"/>
      </c:valAx>
    </c:plotArea>
    <c:legend>
      <c:legendPos val="r"/>
      <c:layout/>
      <c:overlay val="0"/>
    </c:legend>
    <c:plotVisOnly val="1"/>
    <c:dispBlanksAs val="gap"/>
    <c:showDLblsOverMax val="1"/>
  </c:chart>
  <c:spPr>
    <a:ln w="12700">
      <a:solidFill>
        <a:srgbClr val="59595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solidFill>
          <a:srgbClr val="FFFFFF"/>
        </a:solidFill>
        <a:ln>
          <a:solidFill>
            <a:srgbClr val="FFFFFF"/>
          </a:solidFill>
          <a:prstDash val="solid"/>
        </a:ln>
        <a:effectLst/>
      </c:spPr>
      <c:txPr>
        <a:bodyPr rot="0" spcFirstLastPara="1" vertOverflow="ellipsis" vert="horz" wrap="square" anchor="ctr" anchorCtr="1"/>
        <a:lstStyle/>
        <a:p>
          <a:pPr>
            <a:defRPr sz="1400" b="0" i="0" u="none" strike="noStrike" kern="1200" spc="0" baseline="0">
              <a:solidFill>
                <a:srgbClr val="60497A"/>
              </a:solidFill>
              <a:latin typeface="+mn-lt"/>
              <a:ea typeface="+mn-ea"/>
              <a:cs typeface="+mn-cs"/>
            </a:defRPr>
          </a:pPr>
          <a:endParaRPr lang="en-US"/>
        </a:p>
      </c:txPr>
    </c:title>
    <c:autoTitleDeleted val="0"/>
    <c:plotArea>
      <c:layout/>
      <c:barChart>
        <c:barDir val="col"/>
        <c:grouping val="clustered"/>
        <c:varyColors val="0"/>
        <c:ser>
          <c:idx val="0"/>
          <c:order val="0"/>
          <c:tx>
            <c:strRef>
              <c:f>'Raw Data'!$D$5</c:f>
              <c:strCache>
                <c:ptCount val="1"/>
                <c:pt idx="0">
                  <c:v>Estimated Cost (PKR)</c:v>
                </c:pt>
              </c:strCache>
            </c:strRef>
          </c:tx>
          <c:spPr>
            <a:solidFill>
              <a:srgbClr val="8064A2"/>
            </a:solidFill>
            <a:ln>
              <a:noFill/>
            </a:ln>
            <a:effectLst/>
          </c:spPr>
          <c:invertIfNegative val="0"/>
          <c:cat>
            <c:strRef>
              <c:f>'Raw Data'!$B$6:$B$10</c:f>
              <c:strCache>
                <c:ptCount val="5"/>
                <c:pt idx="0">
                  <c:v>Web Development</c:v>
                </c:pt>
                <c:pt idx="1">
                  <c:v>Cloud Solutions</c:v>
                </c:pt>
                <c:pt idx="2">
                  <c:v>Software  Development</c:v>
                </c:pt>
                <c:pt idx="3">
                  <c:v>Cyber Security</c:v>
                </c:pt>
                <c:pt idx="4">
                  <c:v>Mobile App Development</c:v>
                </c:pt>
              </c:strCache>
            </c:strRef>
          </c:cat>
          <c:val>
            <c:numRef>
              <c:f>'Raw Data'!$D$6:$D$10</c:f>
              <c:numCache>
                <c:formatCode>General</c:formatCode>
                <c:ptCount val="5"/>
                <c:pt idx="0">
                  <c:v>52500</c:v>
                </c:pt>
                <c:pt idx="1">
                  <c:v>87500</c:v>
                </c:pt>
                <c:pt idx="2">
                  <c:v>105000</c:v>
                </c:pt>
                <c:pt idx="3">
                  <c:v>70000</c:v>
                </c:pt>
                <c:pt idx="4">
                  <c:v>77000</c:v>
                </c:pt>
              </c:numCache>
            </c:numRef>
          </c:val>
          <c:extLst>
            <c:ext xmlns:c16="http://schemas.microsoft.com/office/drawing/2014/chart" uri="{C3380CC4-5D6E-409C-BE32-E72D297353CC}">
              <c16:uniqueId val="{00000000-FF64-4F2C-A71E-E17F2490A3F0}"/>
            </c:ext>
          </c:extLst>
        </c:ser>
        <c:dLbls>
          <c:showLegendKey val="0"/>
          <c:showVal val="0"/>
          <c:showCatName val="0"/>
          <c:showSerName val="0"/>
          <c:showPercent val="0"/>
          <c:showBubbleSize val="0"/>
        </c:dLbls>
        <c:gapWidth val="69"/>
        <c:axId val="208661000"/>
        <c:axId val="1856594439"/>
      </c:barChart>
      <c:catAx>
        <c:axId val="208661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F6228"/>
                </a:solidFill>
                <a:latin typeface="+mn-lt"/>
                <a:ea typeface="+mn-ea"/>
                <a:cs typeface="+mn-cs"/>
              </a:defRPr>
            </a:pPr>
            <a:endParaRPr lang="en-US"/>
          </a:p>
        </c:txPr>
        <c:crossAx val="1856594439"/>
        <c:crosses val="autoZero"/>
        <c:auto val="1"/>
        <c:lblAlgn val="ctr"/>
        <c:lblOffset val="100"/>
        <c:noMultiLvlLbl val="0"/>
      </c:catAx>
      <c:valAx>
        <c:axId val="1856594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F6228"/>
                </a:solidFill>
                <a:latin typeface="+mn-lt"/>
                <a:ea typeface="+mn-ea"/>
                <a:cs typeface="+mn-cs"/>
              </a:defRPr>
            </a:pPr>
            <a:endParaRPr lang="en-US"/>
          </a:p>
        </c:txPr>
        <c:crossAx val="2086610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19050" cap="flat" cmpd="sng" algn="ctr">
      <a:solidFill>
        <a:srgbClr val="595959"/>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rgbClr val="60497A"/>
              </a:solidFill>
              <a:latin typeface="+mn-lt"/>
              <a:ea typeface="+mn-ea"/>
              <a:cs typeface="+mn-cs"/>
            </a:defRPr>
          </a:pPr>
          <a:endParaRPr lang="en-US"/>
        </a:p>
      </c:txPr>
    </c:title>
    <c:autoTitleDeleted val="0"/>
    <c:plotArea>
      <c:layout/>
      <c:barChart>
        <c:barDir val="bar"/>
        <c:grouping val="clustered"/>
        <c:varyColors val="0"/>
        <c:ser>
          <c:idx val="0"/>
          <c:order val="0"/>
          <c:tx>
            <c:strRef>
              <c:f>'Raw Data'!$E$13</c:f>
              <c:strCache>
                <c:ptCount val="1"/>
                <c:pt idx="0">
                  <c:v>Stock</c:v>
                </c:pt>
              </c:strCache>
            </c:strRef>
          </c:tx>
          <c:spPr>
            <a:solidFill>
              <a:srgbClr val="31869B"/>
            </a:solidFill>
            <a:ln>
              <a:noFill/>
            </a:ln>
            <a:effectLst/>
          </c:spPr>
          <c:invertIfNegative val="0"/>
          <c:cat>
            <c:strRef>
              <c:f>'Raw Data'!$B$14:$B$18</c:f>
              <c:strCache>
                <c:ptCount val="5"/>
                <c:pt idx="0">
                  <c:v>Laptop</c:v>
                </c:pt>
                <c:pt idx="1">
                  <c:v>Smart Phone</c:v>
                </c:pt>
                <c:pt idx="2">
                  <c:v>Headphones</c:v>
                </c:pt>
                <c:pt idx="3">
                  <c:v>Wireless Earbuds</c:v>
                </c:pt>
                <c:pt idx="4">
                  <c:v>Fast Charger</c:v>
                </c:pt>
              </c:strCache>
            </c:strRef>
          </c:cat>
          <c:val>
            <c:numRef>
              <c:f>'Raw Data'!$E$14:$E$18</c:f>
              <c:numCache>
                <c:formatCode>General</c:formatCode>
                <c:ptCount val="5"/>
                <c:pt idx="0">
                  <c:v>10</c:v>
                </c:pt>
                <c:pt idx="1">
                  <c:v>15</c:v>
                </c:pt>
                <c:pt idx="2">
                  <c:v>9</c:v>
                </c:pt>
                <c:pt idx="3">
                  <c:v>0</c:v>
                </c:pt>
                <c:pt idx="4">
                  <c:v>30</c:v>
                </c:pt>
              </c:numCache>
            </c:numRef>
          </c:val>
          <c:extLst>
            <c:ext xmlns:c16="http://schemas.microsoft.com/office/drawing/2014/chart" uri="{C3380CC4-5D6E-409C-BE32-E72D297353CC}">
              <c16:uniqueId val="{00000000-472E-4C1E-808D-90C51B293ACE}"/>
            </c:ext>
          </c:extLst>
        </c:ser>
        <c:dLbls>
          <c:showLegendKey val="0"/>
          <c:showVal val="0"/>
          <c:showCatName val="0"/>
          <c:showSerName val="0"/>
          <c:showPercent val="0"/>
          <c:showBubbleSize val="0"/>
        </c:dLbls>
        <c:gapWidth val="182"/>
        <c:axId val="208603656"/>
        <c:axId val="208638472"/>
      </c:barChart>
      <c:catAx>
        <c:axId val="208603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48A54"/>
                </a:solidFill>
                <a:latin typeface="+mn-lt"/>
                <a:ea typeface="+mn-ea"/>
                <a:cs typeface="+mn-cs"/>
              </a:defRPr>
            </a:pPr>
            <a:endParaRPr lang="en-US"/>
          </a:p>
        </c:txPr>
        <c:crossAx val="208638472"/>
        <c:crosses val="autoZero"/>
        <c:auto val="1"/>
        <c:lblAlgn val="ctr"/>
        <c:lblOffset val="100"/>
        <c:noMultiLvlLbl val="0"/>
      </c:catAx>
      <c:valAx>
        <c:axId val="208638472"/>
        <c:scaling>
          <c:orientation val="minMax"/>
        </c:scaling>
        <c:delete val="0"/>
        <c:axPos val="b"/>
        <c:majorGridlines>
          <c:spPr>
            <a:ln w="9525" cap="flat" cmpd="sng" algn="ctr">
              <a:solidFill>
                <a:srgbClr val="E6B8B7"/>
              </a:solidFill>
              <a:prstDash val="solid"/>
              <a:round/>
            </a:ln>
            <a:effectLst/>
          </c:spPr>
        </c:majorGridlines>
        <c:minorGridlines>
          <c:spPr>
            <a:ln w="9525" cap="flat" cmpd="sng" algn="ctr">
              <a:solidFill>
                <a:schemeClr val="tx1">
                  <a:lumMod val="5000"/>
                  <a:lumOff val="95000"/>
                </a:schemeClr>
              </a:solidFill>
              <a:round/>
            </a:ln>
            <a:effectLst/>
          </c:spPr>
        </c:min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26B0A"/>
                </a:solidFill>
                <a:latin typeface="+mn-lt"/>
                <a:ea typeface="+mn-ea"/>
                <a:cs typeface="+mn-cs"/>
              </a:defRPr>
            </a:pPr>
            <a:endParaRPr lang="en-US"/>
          </a:p>
        </c:txPr>
        <c:crossAx val="208603656"/>
        <c:crosses val="autoZero"/>
        <c:crossBetween val="between"/>
      </c:valAx>
      <c:dTable>
        <c:showHorzBorder val="1"/>
        <c:showVertBorder val="1"/>
        <c:showOutline val="1"/>
        <c:showKeys val="1"/>
        <c:spPr>
          <a:noFill/>
          <a:ln w="9525" cap="flat" cmpd="sng" algn="ctr">
            <a:solidFill>
              <a:srgbClr val="1F497D"/>
            </a:solidFill>
            <a:prstDash val="solid"/>
            <a:round/>
          </a:ln>
          <a:effectLst/>
        </c:spPr>
        <c:txPr>
          <a:bodyPr rot="0" spcFirstLastPara="1" vertOverflow="ellipsis" vert="horz" wrap="square" anchor="ctr" anchorCtr="1"/>
          <a:lstStyle/>
          <a:p>
            <a:pPr rtl="0">
              <a:defRPr sz="900" b="0" i="0" u="none" strike="noStrike" kern="1200" baseline="0">
                <a:solidFill>
                  <a:srgbClr val="16365C"/>
                </a:solidFill>
                <a:latin typeface="+mn-lt"/>
                <a:ea typeface="+mn-ea"/>
                <a:cs typeface="+mn-cs"/>
              </a:defRPr>
            </a:pPr>
            <a:endParaRPr lang="en-US"/>
          </a:p>
        </c:txPr>
      </c:dTable>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404040"/>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116</xdr:row>
          <xdr:rowOff>171450</xdr:rowOff>
        </xdr:from>
        <xdr:to>
          <xdr:col>2</xdr:col>
          <xdr:colOff>0</xdr:colOff>
          <xdr:row>121</xdr:row>
          <xdr:rowOff>142875</xdr:rowOff>
        </xdr:to>
        <xdr:sp macro="" textlink="">
          <xdr:nvSpPr>
            <xdr:cNvPr id="2050" name="Control 2" hidden="1">
              <a:extLst>
                <a:ext uri="{63B3BB69-23CF-44E3-9099-C40C66FF867C}">
                  <a14:compatExt spid="_x0000_s205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0</xdr:col>
      <xdr:colOff>0</xdr:colOff>
      <xdr:row>2</xdr:row>
      <xdr:rowOff>9525</xdr:rowOff>
    </xdr:from>
    <xdr:ext cx="4857750" cy="2486025"/>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8</xdr:col>
      <xdr:colOff>590550</xdr:colOff>
      <xdr:row>2</xdr:row>
      <xdr:rowOff>19050</xdr:rowOff>
    </xdr:from>
    <xdr:to>
      <xdr:col>15</xdr:col>
      <xdr:colOff>590550</xdr:colOff>
      <xdr:row>14</xdr:row>
      <xdr:rowOff>171450</xdr:rowOff>
    </xdr:to>
    <xdr:graphicFrame macro="">
      <xdr:nvGraphicFramePr>
        <xdr:cNvPr id="3" name="Chart 2">
          <a:extLst>
            <a:ext uri="{FF2B5EF4-FFF2-40B4-BE49-F238E27FC236}">
              <a16:creationId xmlns:a16="http://schemas.microsoft.com/office/drawing/2014/main" id="{1A6AE1A8-70D0-4454-B7BF-DB5669C80B85}"/>
            </a:ext>
            <a:ext uri="{147F2762-F138-4A5C-976F-8EAC2B608ADB}">
              <a16:predDERef xmlns:a16="http://schemas.microsoft.com/office/drawing/2014/main" pre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15</xdr:row>
      <xdr:rowOff>180976</xdr:rowOff>
    </xdr:from>
    <xdr:to>
      <xdr:col>7</xdr:col>
      <xdr:colOff>593911</xdr:colOff>
      <xdr:row>29</xdr:row>
      <xdr:rowOff>0</xdr:rowOff>
    </xdr:to>
    <xdr:graphicFrame macro="">
      <xdr:nvGraphicFramePr>
        <xdr:cNvPr id="4" name="Chart 3">
          <a:extLst>
            <a:ext uri="{FF2B5EF4-FFF2-40B4-BE49-F238E27FC236}">
              <a16:creationId xmlns:a16="http://schemas.microsoft.com/office/drawing/2014/main" id="{6B92954A-34DE-4B4C-852E-67894A9D83A4}"/>
            </a:ext>
            <a:ext uri="{147F2762-F138-4A5C-976F-8EAC2B608ADB}">
              <a16:predDERef xmlns:a16="http://schemas.microsoft.com/office/drawing/2014/main" pred="{1A6AE1A8-70D0-4454-B7BF-DB5669C80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G27"/>
  <sheetViews>
    <sheetView topLeftCell="A20" zoomScale="115" zoomScaleNormal="115" workbookViewId="0">
      <selection activeCell="E23" sqref="E23"/>
    </sheetView>
  </sheetViews>
  <sheetFormatPr defaultRowHeight="15" x14ac:dyDescent="0.25"/>
  <cols>
    <col min="1" max="1" width="14" customWidth="1"/>
    <col min="2" max="2" width="25" customWidth="1"/>
    <col min="3" max="4" width="18" customWidth="1"/>
    <col min="5" max="5" width="14" customWidth="1"/>
    <col min="6" max="6" width="18" customWidth="1"/>
  </cols>
  <sheetData>
    <row r="1" spans="1:7" ht="23.25" customHeight="1" thickBot="1" x14ac:dyDescent="0.5">
      <c r="A1" s="24" t="s">
        <v>0</v>
      </c>
      <c r="B1" s="25"/>
      <c r="C1" s="25"/>
      <c r="D1" s="25"/>
      <c r="E1" s="25"/>
      <c r="F1" s="25"/>
      <c r="G1" s="26"/>
    </row>
    <row r="2" spans="1:7" ht="22.5" customHeight="1" x14ac:dyDescent="0.25">
      <c r="A2" s="27" t="s">
        <v>1</v>
      </c>
      <c r="B2" s="27"/>
      <c r="C2" s="27"/>
      <c r="D2" s="27"/>
      <c r="E2" s="27"/>
      <c r="F2" s="27"/>
      <c r="G2" s="27"/>
    </row>
    <row r="3" spans="1:7" ht="14.25" customHeight="1" thickBot="1" x14ac:dyDescent="0.5">
      <c r="A3" s="15"/>
      <c r="B3" s="16"/>
      <c r="C3" s="16"/>
      <c r="D3" s="16"/>
      <c r="E3" s="16"/>
      <c r="F3" s="16"/>
      <c r="G3" s="17"/>
    </row>
    <row r="4" spans="1:7" ht="19.5" thickBot="1" x14ac:dyDescent="0.35">
      <c r="A4" s="28" t="s">
        <v>2</v>
      </c>
      <c r="B4" s="29"/>
      <c r="C4" s="29"/>
      <c r="D4" s="29"/>
      <c r="E4" s="29"/>
      <c r="F4" s="29"/>
      <c r="G4" s="30"/>
    </row>
    <row r="5" spans="1:7" ht="30" x14ac:dyDescent="0.25">
      <c r="A5" s="18" t="s">
        <v>3</v>
      </c>
      <c r="B5" s="18" t="s">
        <v>4</v>
      </c>
      <c r="C5" s="18" t="s">
        <v>5</v>
      </c>
      <c r="D5" s="18" t="s">
        <v>6</v>
      </c>
      <c r="E5" s="19" t="s">
        <v>7</v>
      </c>
      <c r="F5" s="18"/>
      <c r="G5" s="18"/>
    </row>
    <row r="6" spans="1:7" x14ac:dyDescent="0.25">
      <c r="A6" s="2" t="s">
        <v>8</v>
      </c>
      <c r="B6" s="2" t="s">
        <v>9</v>
      </c>
      <c r="C6" s="2" t="s">
        <v>10</v>
      </c>
      <c r="D6" s="3">
        <v>52500</v>
      </c>
      <c r="E6" s="2" t="s">
        <v>11</v>
      </c>
      <c r="F6" s="2"/>
      <c r="G6" s="4"/>
    </row>
    <row r="7" spans="1:7" x14ac:dyDescent="0.25">
      <c r="A7" s="2" t="s">
        <v>12</v>
      </c>
      <c r="B7" s="2" t="s">
        <v>57</v>
      </c>
      <c r="C7" s="2" t="s">
        <v>10</v>
      </c>
      <c r="D7" s="3">
        <v>87500</v>
      </c>
      <c r="E7" s="2" t="s">
        <v>11</v>
      </c>
      <c r="F7" s="2"/>
      <c r="G7" s="4"/>
    </row>
    <row r="8" spans="1:7" x14ac:dyDescent="0.25">
      <c r="A8" s="2" t="s">
        <v>13</v>
      </c>
      <c r="B8" s="2" t="s">
        <v>59</v>
      </c>
      <c r="C8" s="2" t="s">
        <v>10</v>
      </c>
      <c r="D8" s="3">
        <v>105000</v>
      </c>
      <c r="E8" s="2" t="s">
        <v>11</v>
      </c>
      <c r="F8" s="2"/>
      <c r="G8" s="4"/>
    </row>
    <row r="9" spans="1:7" x14ac:dyDescent="0.25">
      <c r="A9" s="2" t="s">
        <v>14</v>
      </c>
      <c r="B9" s="2" t="s">
        <v>60</v>
      </c>
      <c r="C9" s="2" t="s">
        <v>10</v>
      </c>
      <c r="D9" s="3">
        <v>70000</v>
      </c>
      <c r="E9" s="2" t="s">
        <v>11</v>
      </c>
      <c r="F9" s="2"/>
      <c r="G9" s="4"/>
    </row>
    <row r="10" spans="1:7" x14ac:dyDescent="0.25">
      <c r="A10" s="2" t="s">
        <v>15</v>
      </c>
      <c r="B10" s="2" t="s">
        <v>16</v>
      </c>
      <c r="C10" s="2" t="s">
        <v>10</v>
      </c>
      <c r="D10" s="3">
        <v>77000</v>
      </c>
      <c r="E10" s="2" t="s">
        <v>17</v>
      </c>
      <c r="F10" s="2"/>
      <c r="G10" s="4"/>
    </row>
    <row r="11" spans="1:7" ht="15.75" thickBot="1" x14ac:dyDescent="0.3">
      <c r="A11" s="20"/>
      <c r="B11" s="20"/>
      <c r="C11" s="20"/>
      <c r="D11" s="21"/>
      <c r="E11" s="20"/>
      <c r="F11" s="20"/>
      <c r="G11" s="17"/>
    </row>
    <row r="12" spans="1:7" ht="19.5" thickBot="1" x14ac:dyDescent="0.35">
      <c r="A12" s="31" t="s">
        <v>18</v>
      </c>
      <c r="B12" s="32"/>
      <c r="C12" s="32"/>
      <c r="D12" s="32"/>
      <c r="E12" s="32"/>
      <c r="F12" s="32"/>
      <c r="G12" s="33"/>
    </row>
    <row r="13" spans="1:7" x14ac:dyDescent="0.25">
      <c r="A13" s="22" t="s">
        <v>19</v>
      </c>
      <c r="B13" s="22" t="s">
        <v>20</v>
      </c>
      <c r="C13" s="22" t="s">
        <v>5</v>
      </c>
      <c r="D13" s="23" t="s">
        <v>21</v>
      </c>
      <c r="E13" s="23" t="s">
        <v>22</v>
      </c>
      <c r="F13" s="22" t="s">
        <v>23</v>
      </c>
      <c r="G13" s="22"/>
    </row>
    <row r="14" spans="1:7" x14ac:dyDescent="0.25">
      <c r="A14" s="2" t="s">
        <v>24</v>
      </c>
      <c r="B14" s="2" t="s">
        <v>25</v>
      </c>
      <c r="C14" s="2" t="s">
        <v>26</v>
      </c>
      <c r="D14" s="3">
        <v>180000</v>
      </c>
      <c r="E14" s="3">
        <v>10</v>
      </c>
      <c r="F14" s="2" t="str">
        <f>IF(E14&gt;0,"Available","Out of Stock")</f>
        <v>Available</v>
      </c>
      <c r="G14" s="4"/>
    </row>
    <row r="15" spans="1:7" x14ac:dyDescent="0.25">
      <c r="A15" s="2" t="s">
        <v>27</v>
      </c>
      <c r="B15" s="2" t="s">
        <v>28</v>
      </c>
      <c r="C15" s="9" t="s">
        <v>29</v>
      </c>
      <c r="D15" s="3">
        <v>95000</v>
      </c>
      <c r="E15" s="3">
        <v>15</v>
      </c>
      <c r="F15" s="2" t="str">
        <f>IF(E15&gt;0,"Available","Out of Stock")</f>
        <v>Available</v>
      </c>
      <c r="G15" s="4"/>
    </row>
    <row r="16" spans="1:7" x14ac:dyDescent="0.25">
      <c r="A16" s="2" t="s">
        <v>30</v>
      </c>
      <c r="B16" s="2" t="s">
        <v>31</v>
      </c>
      <c r="C16" s="2" t="s">
        <v>32</v>
      </c>
      <c r="D16" s="3">
        <v>18000</v>
      </c>
      <c r="E16" s="3">
        <v>9</v>
      </c>
      <c r="F16" s="2" t="str">
        <f t="shared" ref="F16:F18" si="0">IF(E16&gt;0,"Available","Out of Stock")</f>
        <v>Available</v>
      </c>
      <c r="G16" s="4"/>
    </row>
    <row r="17" spans="1:7" x14ac:dyDescent="0.25">
      <c r="A17" s="2" t="s">
        <v>33</v>
      </c>
      <c r="B17" s="2" t="s">
        <v>34</v>
      </c>
      <c r="C17" s="2" t="s">
        <v>32</v>
      </c>
      <c r="D17" s="3">
        <v>12500</v>
      </c>
      <c r="E17" s="3">
        <v>0</v>
      </c>
      <c r="F17" s="2" t="str">
        <f t="shared" si="0"/>
        <v>Out of Stock</v>
      </c>
      <c r="G17" s="4"/>
    </row>
    <row r="18" spans="1:7" x14ac:dyDescent="0.25">
      <c r="A18" s="2" t="s">
        <v>35</v>
      </c>
      <c r="B18" s="2" t="s">
        <v>36</v>
      </c>
      <c r="C18" s="2" t="s">
        <v>37</v>
      </c>
      <c r="D18" s="3">
        <v>4500</v>
      </c>
      <c r="E18" s="3">
        <v>30</v>
      </c>
      <c r="F18" s="2" t="str">
        <f t="shared" si="0"/>
        <v>Available</v>
      </c>
      <c r="G18" s="4"/>
    </row>
    <row r="19" spans="1:7" ht="15.75" thickBot="1" x14ac:dyDescent="0.3">
      <c r="A19" s="17"/>
      <c r="B19" s="17"/>
      <c r="C19" s="17"/>
      <c r="D19" s="17"/>
      <c r="E19" s="17"/>
      <c r="F19" s="17"/>
      <c r="G19" s="17"/>
    </row>
    <row r="20" spans="1:7" ht="19.5" thickBot="1" x14ac:dyDescent="0.35">
      <c r="A20" s="31" t="s">
        <v>38</v>
      </c>
      <c r="B20" s="32"/>
      <c r="C20" s="32"/>
      <c r="D20" s="32"/>
      <c r="E20" s="32"/>
      <c r="F20" s="32"/>
      <c r="G20" s="33"/>
    </row>
    <row r="21" spans="1:7" ht="24.75" customHeight="1" x14ac:dyDescent="0.25">
      <c r="A21" s="50" t="s">
        <v>58</v>
      </c>
      <c r="B21" s="50" t="s">
        <v>5</v>
      </c>
      <c r="C21" s="50" t="s">
        <v>61</v>
      </c>
      <c r="D21" s="50" t="s">
        <v>62</v>
      </c>
      <c r="E21" s="51"/>
      <c r="F21" s="51"/>
      <c r="G21" s="51"/>
    </row>
    <row r="22" spans="1:7" ht="45" x14ac:dyDescent="0.25">
      <c r="A22" s="14" t="s">
        <v>63</v>
      </c>
      <c r="B22" s="14" t="s">
        <v>64</v>
      </c>
      <c r="C22" s="13" t="s">
        <v>65</v>
      </c>
      <c r="D22" s="14" t="s">
        <v>66</v>
      </c>
      <c r="E22" s="4"/>
      <c r="F22" s="4"/>
      <c r="G22" s="4"/>
    </row>
    <row r="23" spans="1:7" ht="30" x14ac:dyDescent="0.25">
      <c r="A23" s="14" t="s">
        <v>67</v>
      </c>
      <c r="B23" s="14" t="s">
        <v>68</v>
      </c>
      <c r="C23" s="13" t="s">
        <v>69</v>
      </c>
      <c r="D23" s="14" t="s">
        <v>70</v>
      </c>
      <c r="E23" s="4"/>
      <c r="F23" s="4"/>
      <c r="G23" s="4"/>
    </row>
    <row r="24" spans="1:7" ht="30" x14ac:dyDescent="0.25">
      <c r="A24" s="14" t="s">
        <v>71</v>
      </c>
      <c r="B24" s="14" t="s">
        <v>68</v>
      </c>
      <c r="C24" s="13" t="s">
        <v>72</v>
      </c>
      <c r="D24" s="14" t="s">
        <v>73</v>
      </c>
      <c r="E24" s="4"/>
      <c r="F24" s="4"/>
      <c r="G24" s="4"/>
    </row>
    <row r="25" spans="1:7" ht="30" x14ac:dyDescent="0.25">
      <c r="A25" s="14" t="s">
        <v>74</v>
      </c>
      <c r="B25" s="14" t="s">
        <v>68</v>
      </c>
      <c r="C25" s="13" t="s">
        <v>75</v>
      </c>
      <c r="D25" s="14" t="s">
        <v>76</v>
      </c>
      <c r="E25" s="4"/>
      <c r="F25" s="4"/>
      <c r="G25" s="4"/>
    </row>
    <row r="26" spans="1:7" ht="60" x14ac:dyDescent="0.25">
      <c r="A26" s="14" t="s">
        <v>77</v>
      </c>
      <c r="B26" s="14" t="s">
        <v>78</v>
      </c>
      <c r="C26" s="13" t="s">
        <v>84</v>
      </c>
      <c r="D26" s="14" t="s">
        <v>79</v>
      </c>
      <c r="E26" s="4"/>
      <c r="F26" s="4"/>
      <c r="G26" s="4"/>
    </row>
    <row r="27" spans="1:7" ht="45" x14ac:dyDescent="0.25">
      <c r="A27" s="14" t="s">
        <v>80</v>
      </c>
      <c r="B27" s="14" t="s">
        <v>78</v>
      </c>
      <c r="C27" s="13" t="s">
        <v>81</v>
      </c>
      <c r="D27" s="14" t="s">
        <v>82</v>
      </c>
      <c r="E27" s="4"/>
      <c r="F27" s="4"/>
      <c r="G27" s="4"/>
    </row>
  </sheetData>
  <mergeCells count="5">
    <mergeCell ref="A1:G1"/>
    <mergeCell ref="A2:G2"/>
    <mergeCell ref="A4:G4"/>
    <mergeCell ref="A12:G12"/>
    <mergeCell ref="A20:G20"/>
  </mergeCells>
  <conditionalFormatting sqref="E14:E18">
    <cfRule type="cellIs" dxfId="8" priority="2" operator="lessThan">
      <formula>1</formula>
    </cfRule>
    <cfRule type="cellIs" dxfId="7" priority="3" operator="greaterThan">
      <formula>0</formula>
    </cfRule>
    <cfRule type="cellIs" dxfId="6" priority="7" operator="lessThan">
      <formula>1</formula>
    </cfRule>
    <cfRule type="cellIs" dxfId="5" priority="8" operator="greaterThan">
      <formula>0</formula>
    </cfRule>
  </conditionalFormatting>
  <conditionalFormatting sqref="E6:E10">
    <cfRule type="containsText" dxfId="0" priority="1" operator="containsText" text="Out of Stock">
      <formula>NOT(ISERROR(SEARCH("Out of Stock",E6)))</formula>
    </cfRule>
  </conditionalFormatting>
  <dataValidations count="5">
    <dataValidation type="list" sqref="C11 C13:C19 C28:C34">
      <formula1>"Software,Hardware,Design,Computing,Mobile,Audio,Accessories"</formula1>
    </dataValidation>
    <dataValidation type="list" sqref="E6:E11 E13:E19 E28:E34">
      <formula1>"Available,Out of Stock"</formula1>
    </dataValidation>
    <dataValidation type="list" showInputMessage="1" showErrorMessage="1" sqref="F14:F18">
      <formula1>"Available,Out of Stock"</formula1>
    </dataValidation>
    <dataValidation sqref="C6:C10"/>
    <dataValidation type="list" showInputMessage="1" showErrorMessage="1" sqref="B22:B27">
      <formula1>"Executive,Software Faculty,Hardware Faculty"</formula1>
    </dataValidation>
  </dataValidations>
  <pageMargins left="0.75" right="0.75" top="1" bottom="1" header="0.5" footer="0.5"/>
  <pageSetup orientation="portrait" r:id="rId1"/>
  <drawing r:id="rId2"/>
  <legacyDrawing r:id="rId3"/>
  <controls>
    <mc:AlternateContent xmlns:mc="http://schemas.openxmlformats.org/markup-compatibility/2006">
      <mc:Choice Requires="x14">
        <control shapeId="2050" r:id="rId4" name="Control 2">
          <controlPr defaultSize="0" r:id="rId5">
            <anchor moveWithCells="1">
              <from>
                <xdr:col>0</xdr:col>
                <xdr:colOff>0</xdr:colOff>
                <xdr:row>116</xdr:row>
                <xdr:rowOff>171450</xdr:rowOff>
              </from>
              <to>
                <xdr:col>2</xdr:col>
                <xdr:colOff>0</xdr:colOff>
                <xdr:row>121</xdr:row>
                <xdr:rowOff>142875</xdr:rowOff>
              </to>
            </anchor>
          </controlPr>
        </control>
      </mc:Choice>
      <mc:Fallback>
        <control shapeId="2050" r:id="rId4" name="Control 2"/>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topLeftCell="A2" zoomScale="175" zoomScaleNormal="175" workbookViewId="0">
      <selection activeCell="C10" sqref="C10"/>
    </sheetView>
  </sheetViews>
  <sheetFormatPr defaultRowHeight="15" x14ac:dyDescent="0.25"/>
  <cols>
    <col min="1" max="1" width="30" customWidth="1"/>
    <col min="2" max="2" width="20" customWidth="1"/>
    <col min="3" max="3" width="25" customWidth="1"/>
  </cols>
  <sheetData>
    <row r="1" spans="1:3" ht="19.5" thickBot="1" x14ac:dyDescent="0.35">
      <c r="A1" s="34" t="s">
        <v>39</v>
      </c>
      <c r="B1" s="35"/>
      <c r="C1" s="36"/>
    </row>
    <row r="2" spans="1:3" x14ac:dyDescent="0.25">
      <c r="A2" s="10" t="s">
        <v>40</v>
      </c>
      <c r="B2" s="11" t="s">
        <v>41</v>
      </c>
      <c r="C2" s="11" t="s">
        <v>42</v>
      </c>
    </row>
    <row r="3" spans="1:3" x14ac:dyDescent="0.25">
      <c r="A3" s="6" t="s">
        <v>43</v>
      </c>
      <c r="B3" s="7"/>
      <c r="C3" s="5">
        <v>0.05</v>
      </c>
    </row>
    <row r="4" spans="1:3" x14ac:dyDescent="0.25">
      <c r="A4" s="4" t="s">
        <v>44</v>
      </c>
      <c r="B4" s="7"/>
      <c r="C4" s="5">
        <v>0.1</v>
      </c>
    </row>
    <row r="5" spans="1:3" x14ac:dyDescent="0.25">
      <c r="A5" s="4" t="s">
        <v>45</v>
      </c>
      <c r="B5" s="5" t="s">
        <v>46</v>
      </c>
      <c r="C5" s="5">
        <f>SUM('Raw Data'!E14:E18)</f>
        <v>64</v>
      </c>
    </row>
    <row r="6" spans="1:3" x14ac:dyDescent="0.25">
      <c r="A6" s="4" t="s">
        <v>47</v>
      </c>
      <c r="B6" s="5" t="s">
        <v>48</v>
      </c>
      <c r="C6" s="5">
        <f>AVERAGE('Raw Data'!D14:D18)</f>
        <v>62000</v>
      </c>
    </row>
    <row r="7" spans="1:3" x14ac:dyDescent="0.25">
      <c r="A7" s="4" t="s">
        <v>49</v>
      </c>
      <c r="B7" s="5" t="s">
        <v>48</v>
      </c>
      <c r="C7" s="5">
        <f>AVERAGE('Raw Data'!D6:D10)</f>
        <v>78400</v>
      </c>
    </row>
    <row r="8" spans="1:3" ht="30" x14ac:dyDescent="0.25">
      <c r="A8" s="8" t="s">
        <v>50</v>
      </c>
      <c r="B8" s="8" t="s">
        <v>51</v>
      </c>
      <c r="C8" s="12">
        <f>SUMPRODUCT('Raw Data'!D14:D18,'Raw Data'!E14:E18)</f>
        <v>3522000</v>
      </c>
    </row>
    <row r="9" spans="1:3" ht="30" x14ac:dyDescent="0.25">
      <c r="A9" s="8" t="s">
        <v>52</v>
      </c>
      <c r="B9" s="8" t="s">
        <v>53</v>
      </c>
      <c r="C9" s="12">
        <f>C6*(1-C4)*(1+C3)</f>
        <v>58590</v>
      </c>
    </row>
    <row r="10" spans="1:3" x14ac:dyDescent="0.25">
      <c r="A10" s="52" t="s">
        <v>83</v>
      </c>
      <c r="B10" t="s">
        <v>48</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3"/>
  <sheetViews>
    <sheetView tabSelected="1" topLeftCell="A8" zoomScale="85" zoomScaleNormal="85" workbookViewId="0">
      <selection activeCell="J28" sqref="J28"/>
    </sheetView>
  </sheetViews>
  <sheetFormatPr defaultRowHeight="15" x14ac:dyDescent="0.25"/>
  <sheetData>
    <row r="1" spans="1:16" ht="18.75" customHeight="1" x14ac:dyDescent="0.25">
      <c r="A1" s="37" t="s">
        <v>54</v>
      </c>
      <c r="B1" s="38"/>
      <c r="C1" s="38"/>
      <c r="D1" s="38"/>
      <c r="E1" s="38"/>
      <c r="F1" s="38"/>
      <c r="G1" s="38"/>
      <c r="H1" s="38"/>
      <c r="I1" s="38"/>
      <c r="J1" s="38"/>
      <c r="K1" s="38"/>
      <c r="L1" s="38"/>
      <c r="M1" s="38"/>
      <c r="N1" s="38"/>
      <c r="O1" s="38"/>
      <c r="P1" s="39"/>
    </row>
    <row r="2" spans="1:16" ht="15.75" thickBot="1" x14ac:dyDescent="0.3">
      <c r="A2" s="40"/>
      <c r="B2" s="41"/>
      <c r="C2" s="41"/>
      <c r="D2" s="41"/>
      <c r="E2" s="41"/>
      <c r="F2" s="41"/>
      <c r="G2" s="41"/>
      <c r="H2" s="41"/>
      <c r="I2" s="41"/>
      <c r="J2" s="41"/>
      <c r="K2" s="41"/>
      <c r="L2" s="41"/>
      <c r="M2" s="41"/>
      <c r="N2" s="41"/>
      <c r="O2" s="41"/>
      <c r="P2" s="42"/>
    </row>
    <row r="3" spans="1:16" x14ac:dyDescent="0.25">
      <c r="A3" s="1"/>
    </row>
    <row r="4" spans="1:16" x14ac:dyDescent="0.25">
      <c r="A4" s="1"/>
    </row>
    <row r="30" spans="1:16" ht="15.75" thickBot="1" x14ac:dyDescent="0.3"/>
    <row r="31" spans="1:16" x14ac:dyDescent="0.25">
      <c r="A31" s="43" t="s">
        <v>55</v>
      </c>
      <c r="B31" s="44"/>
      <c r="C31" s="44"/>
      <c r="D31" s="44"/>
      <c r="E31" s="44"/>
      <c r="F31" s="44"/>
      <c r="G31" s="44"/>
      <c r="H31" s="44"/>
      <c r="I31" s="44"/>
      <c r="J31" s="44"/>
      <c r="K31" s="44"/>
      <c r="L31" s="44"/>
      <c r="M31" s="44"/>
      <c r="N31" s="44"/>
      <c r="O31" s="44"/>
      <c r="P31" s="45"/>
    </row>
    <row r="32" spans="1:16" ht="15.75" thickBot="1" x14ac:dyDescent="0.3">
      <c r="A32" s="46"/>
      <c r="B32" s="47"/>
      <c r="C32" s="47"/>
      <c r="D32" s="47"/>
      <c r="E32" s="47"/>
      <c r="F32" s="47"/>
      <c r="G32" s="47"/>
      <c r="H32" s="47"/>
      <c r="I32" s="47"/>
      <c r="J32" s="47"/>
      <c r="K32" s="47"/>
      <c r="L32" s="47"/>
      <c r="M32" s="47"/>
      <c r="N32" s="47"/>
      <c r="O32" s="47"/>
      <c r="P32" s="48"/>
    </row>
    <row r="33" spans="1:16" ht="60" customHeight="1" x14ac:dyDescent="0.25">
      <c r="A33" s="49" t="s">
        <v>56</v>
      </c>
      <c r="B33" s="49"/>
      <c r="C33" s="49"/>
      <c r="D33" s="49"/>
      <c r="E33" s="49"/>
      <c r="F33" s="49"/>
      <c r="G33" s="49"/>
      <c r="H33" s="49"/>
      <c r="I33" s="49"/>
      <c r="J33" s="49"/>
      <c r="K33" s="49"/>
      <c r="L33" s="49"/>
      <c r="M33" s="49"/>
      <c r="N33" s="49"/>
      <c r="O33" s="49"/>
      <c r="P33" s="49"/>
    </row>
  </sheetData>
  <mergeCells count="3">
    <mergeCell ref="A1:P2"/>
    <mergeCell ref="A31:P32"/>
    <mergeCell ref="A33:P33"/>
  </mergeCells>
  <pageMargins left="0.75" right="0.75" top="1" bottom="1" header="0.5" footer="0.5"/>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Calculations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Moorche</cp:lastModifiedBy>
  <cp:revision/>
  <dcterms:created xsi:type="dcterms:W3CDTF">2025-12-30T21:52:03Z</dcterms:created>
  <dcterms:modified xsi:type="dcterms:W3CDTF">2026-01-04T14:30:26Z</dcterms:modified>
  <cp:category/>
  <cp:contentStatus/>
</cp:coreProperties>
</file>